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oj\OneDrive\Área de Trabalho\grupo AJPDS\"/>
    </mc:Choice>
  </mc:AlternateContent>
  <xr:revisionPtr revIDLastSave="0" documentId="13_ncr:1_{8FA98C94-BACB-4F71-BE2E-F4FE5AF13821}" xr6:coauthVersionLast="47" xr6:coauthVersionMax="47" xr10:uidLastSave="{00000000-0000-0000-0000-000000000000}"/>
  <bookViews>
    <workbookView xWindow="-120" yWindow="-120" windowWidth="20730" windowHeight="11160" xr2:uid="{1AEE6778-B9C8-4DA3-8409-1C6AC2869339}"/>
  </bookViews>
  <sheets>
    <sheet name="TITULAR" sheetId="1" r:id="rId1"/>
    <sheet name="INFORMES" sheetId="2" r:id="rId2"/>
    <sheet name="NOTAS" sheetId="3" r:id="rId3"/>
    <sheet name="BAN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</calcChain>
</file>

<file path=xl/sharedStrings.xml><?xml version="1.0" encoding="utf-8"?>
<sst xmlns="http://schemas.openxmlformats.org/spreadsheetml/2006/main" count="79" uniqueCount="68">
  <si>
    <t>TITULAR!B1</t>
  </si>
  <si>
    <t>NOME</t>
  </si>
  <si>
    <t>CPF</t>
  </si>
  <si>
    <t>NASCIMENTO</t>
  </si>
  <si>
    <t>CIVIL</t>
  </si>
  <si>
    <t>ENDEREÇO</t>
  </si>
  <si>
    <t>BAIRRO</t>
  </si>
  <si>
    <t>CEP</t>
  </si>
  <si>
    <t>CIDADE</t>
  </si>
  <si>
    <t>NUMERO</t>
  </si>
  <si>
    <t>TELEFONE</t>
  </si>
  <si>
    <t>CELULAR</t>
  </si>
  <si>
    <t>E-MAIL</t>
  </si>
  <si>
    <t>RESIDENTE DO EXTERIOR</t>
  </si>
  <si>
    <t>HOUVE ALTERAÇÕES DA ENTREGA ANTERIOR</t>
  </si>
  <si>
    <t>1.DADOS DO TITULAR</t>
  </si>
  <si>
    <t>PREENCHA OS DADOS DA SUA PESSOA FISICA ABAIXO</t>
  </si>
  <si>
    <t>DEPENDENTE CÕNJUGE</t>
  </si>
  <si>
    <t>SIM</t>
  </si>
  <si>
    <t>NÃO</t>
  </si>
  <si>
    <t>AVENIDA PAULISTA</t>
  </si>
  <si>
    <t>SÃO PAULO</t>
  </si>
  <si>
    <t>BELA VISTA</t>
  </si>
  <si>
    <t>99910-999</t>
  </si>
  <si>
    <t>27400-9900</t>
  </si>
  <si>
    <t>(11) 98811-9999</t>
  </si>
  <si>
    <t>joaogabriel@pagbank.com</t>
  </si>
  <si>
    <t>JOAO GABRIEL DA SILVA</t>
  </si>
  <si>
    <t>MARIA LUIZA DA SIILVA</t>
  </si>
  <si>
    <t>CÕNGUE</t>
  </si>
  <si>
    <t>CASADO</t>
  </si>
  <si>
    <t>PREENCHA COM SEUS DADOS ATUAIS DE CADA BANCO</t>
  </si>
  <si>
    <t>2.INFORMES DE RENDIMENTO BANCÁRIOS</t>
  </si>
  <si>
    <t>BANCO</t>
  </si>
  <si>
    <t>VALOR ATUAL</t>
  </si>
  <si>
    <t>ANEXO</t>
  </si>
  <si>
    <t>EXTRATOSANTANDER-PDF</t>
  </si>
  <si>
    <t>BANCO ITAU</t>
  </si>
  <si>
    <t>BANCO BRADESCO</t>
  </si>
  <si>
    <t>BANCO NUBANK</t>
  </si>
  <si>
    <t>BANCO C6</t>
  </si>
  <si>
    <t>BANCO INTERNACIONAL</t>
  </si>
  <si>
    <t>BANCO CITIBANK</t>
  </si>
  <si>
    <t>BANCO BTG</t>
  </si>
  <si>
    <t>BANCO MASTER</t>
  </si>
  <si>
    <t>BANCO DA AMÉRICA</t>
  </si>
  <si>
    <t>TIPOS DE BANCOS</t>
  </si>
  <si>
    <t>BANCO SANTANDER</t>
  </si>
  <si>
    <t>1º</t>
  </si>
  <si>
    <t>2º</t>
  </si>
  <si>
    <t>3º</t>
  </si>
  <si>
    <t>SEM BANCO</t>
  </si>
  <si>
    <t>EXTRATO.EXTERIOR-PDF</t>
  </si>
  <si>
    <t>EXTRATO-PDF</t>
  </si>
  <si>
    <t>TOTAL</t>
  </si>
  <si>
    <t>DATA</t>
  </si>
  <si>
    <t>CATEGORIA</t>
  </si>
  <si>
    <t>VALOR</t>
  </si>
  <si>
    <t>ENTRADAS</t>
  </si>
  <si>
    <t>HOLERITE</t>
  </si>
  <si>
    <t>RECEBIDO PIX</t>
  </si>
  <si>
    <t>TRANSFERÊNCIA</t>
  </si>
  <si>
    <t>DINHEIRO</t>
  </si>
  <si>
    <t>3.NOTAS BANCÁRIAS OU EXTRATO DE HOLERITES</t>
  </si>
  <si>
    <t>Soma</t>
  </si>
  <si>
    <t>Média</t>
  </si>
  <si>
    <t>Soma Acumulada</t>
  </si>
  <si>
    <t>Contagem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</si>
</sst>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71" formatCode="000&quot;.&quot;000&quot;.&quot;000&quot;-&quot;00"/>
    <numFmt numFmtId="172" formatCode="00000\-000"/>
    <numFmt numFmtId="173" formatCode="[&lt;=9999999]###\-####;\(###\)\ ###\-####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4" borderId="0" xfId="0" applyFill="1"/>
    <xf numFmtId="0" fontId="5" fillId="4" borderId="0" xfId="4" applyFill="1"/>
    <xf numFmtId="0" fontId="2" fillId="0" borderId="1" xfId="1"/>
    <xf numFmtId="0" fontId="4" fillId="2" borderId="2" xfId="2" applyBorder="1" applyAlignment="1">
      <alignment horizontal="right"/>
    </xf>
    <xf numFmtId="0" fontId="0" fillId="0" borderId="0" xfId="0" applyAlignment="1">
      <alignment horizontal="center"/>
    </xf>
    <xf numFmtId="0" fontId="1" fillId="3" borderId="4" xfId="3" applyFont="1" applyBorder="1" applyAlignment="1">
      <alignment horizontal="center" vertical="center"/>
    </xf>
    <xf numFmtId="0" fontId="2" fillId="0" borderId="0" xfId="1" applyBorder="1"/>
    <xf numFmtId="0" fontId="0" fillId="3" borderId="4" xfId="3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44" fontId="3" fillId="5" borderId="5" xfId="3" applyNumberFormat="1" applyFont="1" applyFill="1" applyBorder="1" applyAlignment="1">
      <alignment horizontal="left"/>
    </xf>
    <xf numFmtId="0" fontId="4" fillId="2" borderId="0" xfId="2" applyAlignment="1">
      <alignment horizontal="center" vertical="center"/>
    </xf>
    <xf numFmtId="0" fontId="7" fillId="2" borderId="0" xfId="2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1" applyBorder="1" applyAlignment="1">
      <alignment horizontal="left"/>
    </xf>
    <xf numFmtId="0" fontId="0" fillId="5" borderId="3" xfId="3" applyFont="1" applyFill="1" applyBorder="1" applyAlignment="1" applyProtection="1">
      <alignment horizontal="center"/>
      <protection locked="0"/>
    </xf>
    <xf numFmtId="171" fontId="0" fillId="5" borderId="3" xfId="3" applyNumberFormat="1" applyFont="1" applyFill="1" applyBorder="1" applyAlignment="1" applyProtection="1">
      <alignment horizontal="center"/>
      <protection locked="0"/>
    </xf>
    <xf numFmtId="14" fontId="1" fillId="5" borderId="3" xfId="3" applyNumberFormat="1" applyFill="1" applyBorder="1" applyAlignment="1" applyProtection="1">
      <alignment horizontal="center"/>
      <protection locked="0"/>
    </xf>
    <xf numFmtId="0" fontId="1" fillId="5" borderId="3" xfId="3" applyFill="1" applyBorder="1" applyAlignment="1" applyProtection="1">
      <alignment horizontal="center"/>
      <protection locked="0"/>
    </xf>
    <xf numFmtId="172" fontId="0" fillId="5" borderId="3" xfId="3" applyNumberFormat="1" applyFont="1" applyFill="1" applyBorder="1" applyAlignment="1" applyProtection="1">
      <alignment horizontal="center"/>
      <protection locked="0"/>
    </xf>
    <xf numFmtId="173" fontId="0" fillId="5" borderId="3" xfId="3" applyNumberFormat="1" applyFont="1" applyFill="1" applyBorder="1" applyAlignment="1" applyProtection="1">
      <alignment horizontal="center"/>
      <protection locked="0"/>
    </xf>
    <xf numFmtId="0" fontId="5" fillId="5" borderId="3" xfId="4" applyNumberFormat="1" applyFill="1" applyBorder="1" applyAlignment="1" applyProtection="1">
      <alignment horizontal="center"/>
      <protection locked="0"/>
    </xf>
    <xf numFmtId="0" fontId="0" fillId="5" borderId="3" xfId="3" applyFont="1" applyFill="1" applyBorder="1" applyAlignment="1" applyProtection="1">
      <alignment horizontal="left"/>
      <protection locked="0"/>
    </xf>
    <xf numFmtId="44" fontId="0" fillId="5" borderId="3" xfId="3" applyNumberFormat="1" applyFont="1" applyFill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44" fontId="0" fillId="0" borderId="0" xfId="0" applyNumberFormat="1" applyProtection="1">
      <protection locked="0"/>
    </xf>
  </cellXfs>
  <cellStyles count="5">
    <cellStyle name="60% - Ênfase1" xfId="3" builtinId="32"/>
    <cellStyle name="Ênfase1" xfId="2" builtinId="29"/>
    <cellStyle name="Hiperlink" xfId="4" builtinId="8"/>
    <cellStyle name="Normal" xfId="0" builtinId="0"/>
    <cellStyle name="Título 1" xfId="1" builtinId="16"/>
  </cellStyles>
  <dxfs count="5">
    <dxf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protection locked="0" hidden="0"/>
    </dxf>
    <dxf>
      <numFmt numFmtId="19" formatCode="dd/mm/yyyy"/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2.sv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ITULAR!B1"/><Relationship Id="rId6" Type="http://schemas.openxmlformats.org/officeDocument/2006/relationships/hyperlink" Target="https://www.linkedin.com/in/arquidonio-jun%C3%ADo-pereira-pcd/" TargetMode="External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2.sv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ITULAR!B1"/><Relationship Id="rId6" Type="http://schemas.openxmlformats.org/officeDocument/2006/relationships/hyperlink" Target="https://www.linkedin.com/in/arquidonio-jun%C3%ADo-pereira-pcd/" TargetMode="External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2.sv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ITULAR!B1"/><Relationship Id="rId6" Type="http://schemas.openxmlformats.org/officeDocument/2006/relationships/hyperlink" Target="https://www.linkedin.com/in/arquidonio-jun%C3%ADo-pereira-pcd/" TargetMode="External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600075</xdr:colOff>
      <xdr:row>15</xdr:row>
      <xdr:rowOff>117021</xdr:rowOff>
    </xdr:from>
    <xdr:to>
      <xdr:col>0</xdr:col>
      <xdr:colOff>2619375</xdr:colOff>
      <xdr:row>18</xdr:row>
      <xdr:rowOff>31296</xdr:rowOff>
    </xdr:to>
    <xdr:sp macro="" textlink="">
      <xdr:nvSpPr>
        <xdr:cNvPr id="5" name="CaixaDeText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552A4-E507-89EC-2B19-ACE7137D18A9}"/>
            </a:ext>
          </a:extLst>
        </xdr:cNvPr>
        <xdr:cNvSpPr txBox="1"/>
      </xdr:nvSpPr>
      <xdr:spPr>
        <a:xfrm>
          <a:off x="600075" y="3124200"/>
          <a:ext cx="2019300" cy="485775"/>
        </a:xfrm>
        <a:prstGeom prst="rect">
          <a:avLst/>
        </a:prstGeom>
        <a:solidFill>
          <a:schemeClr val="dk1"/>
        </a:solidFill>
        <a:ln>
          <a:gradFill>
            <a:gsLst>
              <a:gs pos="15000">
                <a:schemeClr val="accent1">
                  <a:lumMod val="9000"/>
                  <a:lumOff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n>
                <a:noFill/>
              </a:ln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F1D356C-1398-6DB2-B1D0-E172731DB574}"/>
            </a:ext>
          </a:extLst>
        </xdr:cNvPr>
        <xdr:cNvSpPr/>
      </xdr:nvSpPr>
      <xdr:spPr>
        <a:xfrm>
          <a:off x="0" y="0"/>
          <a:ext cx="3752850" cy="552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85725</xdr:colOff>
      <xdr:row>10</xdr:row>
      <xdr:rowOff>21771</xdr:rowOff>
    </xdr:from>
    <xdr:to>
      <xdr:col>0</xdr:col>
      <xdr:colOff>3133725</xdr:colOff>
      <xdr:row>12</xdr:row>
      <xdr:rowOff>59871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5A29B92-C32E-6E46-9088-2D7609C618D9}"/>
            </a:ext>
          </a:extLst>
        </xdr:cNvPr>
        <xdr:cNvSpPr/>
      </xdr:nvSpPr>
      <xdr:spPr>
        <a:xfrm>
          <a:off x="85725" y="2334986"/>
          <a:ext cx="3048000" cy="4191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i="0">
              <a:ln>
                <a:noFill/>
              </a:ln>
              <a:solidFill>
                <a:srgbClr val="002060"/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PAGBANK</a:t>
          </a:r>
          <a:r>
            <a:rPr lang="pt-BR" sz="1600" i="0" baseline="0">
              <a:ln>
                <a:noFill/>
              </a:ln>
              <a:solidFill>
                <a:srgbClr val="002060"/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 APP</a:t>
          </a:r>
          <a:endParaRPr lang="pt-BR" sz="1600" i="0">
            <a:ln>
              <a:noFill/>
            </a:ln>
            <a:solidFill>
              <a:srgbClr val="002060"/>
            </a:solidFill>
            <a:effectLst/>
            <a:latin typeface="Bodoni MT Black" panose="02070A03080606020203" pitchFamily="18" charset="0"/>
          </a:endParaRPr>
        </a:p>
      </xdr:txBody>
    </xdr:sp>
    <xdr:clientData/>
  </xdr:twoCellAnchor>
  <xdr:twoCellAnchor editAs="absolute">
    <xdr:from>
      <xdr:col>0</xdr:col>
      <xdr:colOff>623098</xdr:colOff>
      <xdr:row>1</xdr:row>
      <xdr:rowOff>161925</xdr:rowOff>
    </xdr:from>
    <xdr:to>
      <xdr:col>0</xdr:col>
      <xdr:colOff>2596352</xdr:colOff>
      <xdr:row>11</xdr:row>
      <xdr:rowOff>79014</xdr:rowOff>
    </xdr:to>
    <xdr:pic>
      <xdr:nvPicPr>
        <xdr:cNvPr id="8" name="Imagem 3" descr="Dinheiro com preenchimento sólido">
          <a:extLst>
            <a:ext uri="{FF2B5EF4-FFF2-40B4-BE49-F238E27FC236}">
              <a16:creationId xmlns:a16="http://schemas.microsoft.com/office/drawing/2014/main" id="{8508C822-FC0D-47EC-94DF-9FDD6CC04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 bwMode="auto">
        <a:xfrm>
          <a:off x="623098" y="352425"/>
          <a:ext cx="1973254" cy="1971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600075</xdr:colOff>
      <xdr:row>18</xdr:row>
      <xdr:rowOff>102733</xdr:rowOff>
    </xdr:from>
    <xdr:to>
      <xdr:col>0</xdr:col>
      <xdr:colOff>2619375</xdr:colOff>
      <xdr:row>21</xdr:row>
      <xdr:rowOff>17008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211AD2-29B1-42E2-A563-D8A0C1BCF625}"/>
            </a:ext>
          </a:extLst>
        </xdr:cNvPr>
        <xdr:cNvSpPr txBox="1"/>
      </xdr:nvSpPr>
      <xdr:spPr>
        <a:xfrm>
          <a:off x="600075" y="3681412"/>
          <a:ext cx="2019300" cy="485775"/>
        </a:xfrm>
        <a:prstGeom prst="rect">
          <a:avLst/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600075</xdr:colOff>
      <xdr:row>21</xdr:row>
      <xdr:rowOff>88446</xdr:rowOff>
    </xdr:from>
    <xdr:to>
      <xdr:col>0</xdr:col>
      <xdr:colOff>2619375</xdr:colOff>
      <xdr:row>24</xdr:row>
      <xdr:rowOff>2721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DEAD88-5D94-4428-A4CE-60249019A9CE}"/>
            </a:ext>
          </a:extLst>
        </xdr:cNvPr>
        <xdr:cNvSpPr txBox="1"/>
      </xdr:nvSpPr>
      <xdr:spPr>
        <a:xfrm>
          <a:off x="600075" y="4238625"/>
          <a:ext cx="2019300" cy="485775"/>
        </a:xfrm>
        <a:prstGeom prst="rect">
          <a:avLst/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296332</xdr:colOff>
      <xdr:row>26</xdr:row>
      <xdr:rowOff>61988</xdr:rowOff>
    </xdr:from>
    <xdr:to>
      <xdr:col>0</xdr:col>
      <xdr:colOff>2920999</xdr:colOff>
      <xdr:row>26</xdr:row>
      <xdr:rowOff>61988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E59E3BF0-3D57-0A80-5A79-D8B57B69DFF8}"/>
            </a:ext>
          </a:extLst>
        </xdr:cNvPr>
        <xdr:cNvCxnSpPr/>
      </xdr:nvCxnSpPr>
      <xdr:spPr>
        <a:xfrm>
          <a:off x="296332" y="5164667"/>
          <a:ext cx="262466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26</xdr:row>
      <xdr:rowOff>178404</xdr:rowOff>
    </xdr:from>
    <xdr:to>
      <xdr:col>0</xdr:col>
      <xdr:colOff>2677583</xdr:colOff>
      <xdr:row>28</xdr:row>
      <xdr:rowOff>61987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1B52DE25-D076-341F-1007-75AA2C0D64CF}"/>
            </a:ext>
          </a:extLst>
        </xdr:cNvPr>
        <xdr:cNvSpPr txBox="1"/>
      </xdr:nvSpPr>
      <xdr:spPr>
        <a:xfrm>
          <a:off x="635000" y="5281083"/>
          <a:ext cx="2042583" cy="26458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i="1">
              <a:solidFill>
                <a:schemeClr val="bg1"/>
              </a:solidFill>
            </a:rPr>
            <a:t>SISTEMA DE INFORMAÇÃO</a:t>
          </a:r>
        </a:p>
      </xdr:txBody>
    </xdr:sp>
    <xdr:clientData/>
  </xdr:twoCellAnchor>
  <xdr:twoCellAnchor editAs="absolute">
    <xdr:from>
      <xdr:col>0</xdr:col>
      <xdr:colOff>952502</xdr:colOff>
      <xdr:row>27</xdr:row>
      <xdr:rowOff>144772</xdr:rowOff>
    </xdr:from>
    <xdr:to>
      <xdr:col>0</xdr:col>
      <xdr:colOff>2370667</xdr:colOff>
      <xdr:row>35</xdr:row>
      <xdr:rowOff>30238</xdr:rowOff>
    </xdr:to>
    <xdr:pic>
      <xdr:nvPicPr>
        <xdr:cNvPr id="19" name="Link-icon" descr="Linkedin White Icon Vector, Black And White, Linkedin Logo, Linkedin Icon  PNG and Vector with Transparent Background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8BD6EA8-3A2E-9901-4A88-F430E6A3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2" y="5696487"/>
          <a:ext cx="1418165" cy="1409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26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30" name="Retângulo: Cantos Arredondados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04F80E-D2BE-C370-784E-92E4B8EDC9ED}"/>
            </a:ext>
          </a:extLst>
        </xdr:cNvPr>
        <xdr:cNvSpPr/>
      </xdr:nvSpPr>
      <xdr:spPr>
        <a:xfrm>
          <a:off x="7579179" y="5102679"/>
          <a:ext cx="3061607" cy="571500"/>
        </a:xfrm>
        <a:prstGeom prst="roundRect">
          <a:avLst/>
        </a:prstGeom>
        <a:gradFill>
          <a:gsLst>
            <a:gs pos="0">
              <a:schemeClr val="accent4">
                <a:satMod val="103000"/>
                <a:lumMod val="102000"/>
                <a:tint val="94000"/>
              </a:schemeClr>
            </a:gs>
            <a:gs pos="50000">
              <a:schemeClr val="accent4">
                <a:satMod val="110000"/>
                <a:lumMod val="100000"/>
                <a:shade val="100000"/>
              </a:schemeClr>
            </a:gs>
            <a:gs pos="100000">
              <a:schemeClr val="accent4">
                <a:lumMod val="99000"/>
                <a:satMod val="120000"/>
                <a:shade val="78000"/>
              </a:schemeClr>
            </a:gs>
          </a:gsLst>
          <a:lin ang="5400000" scaled="0"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PROXIMO</a:t>
          </a:r>
          <a:r>
            <a:rPr lang="pt-BR" sz="1800" b="1" baseline="0"/>
            <a:t> &gt;&gt;&gt;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600075</xdr:colOff>
      <xdr:row>15</xdr:row>
      <xdr:rowOff>8164</xdr:rowOff>
    </xdr:from>
    <xdr:to>
      <xdr:col>0</xdr:col>
      <xdr:colOff>2619375</xdr:colOff>
      <xdr:row>17</xdr:row>
      <xdr:rowOff>112939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D56D0-065B-495D-8C1C-DD6A35498545}"/>
            </a:ext>
          </a:extLst>
        </xdr:cNvPr>
        <xdr:cNvSpPr txBox="1"/>
      </xdr:nvSpPr>
      <xdr:spPr>
        <a:xfrm>
          <a:off x="600075" y="3124200"/>
          <a:ext cx="2019300" cy="485775"/>
        </a:xfrm>
        <a:prstGeom prst="rect">
          <a:avLst/>
        </a:prstGeom>
        <a:noFill/>
        <a:ln>
          <a:gradFill>
            <a:gsLst>
              <a:gs pos="15000">
                <a:schemeClr val="accent1">
                  <a:lumMod val="9000"/>
                  <a:lumOff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n>
                <a:noFill/>
              </a:ln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26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C8AA975-1080-444B-A3E9-2B8A3E3D11B2}"/>
            </a:ext>
          </a:extLst>
        </xdr:cNvPr>
        <xdr:cNvSpPr/>
      </xdr:nvSpPr>
      <xdr:spPr>
        <a:xfrm>
          <a:off x="0" y="0"/>
          <a:ext cx="0" cy="533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85725</xdr:colOff>
      <xdr:row>9</xdr:row>
      <xdr:rowOff>157843</xdr:rowOff>
    </xdr:from>
    <xdr:to>
      <xdr:col>0</xdr:col>
      <xdr:colOff>3133725</xdr:colOff>
      <xdr:row>12</xdr:row>
      <xdr:rowOff>5443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675DEF7-CCFE-4371-8DA4-C13646DA2579}"/>
            </a:ext>
          </a:extLst>
        </xdr:cNvPr>
        <xdr:cNvSpPr/>
      </xdr:nvSpPr>
      <xdr:spPr>
        <a:xfrm>
          <a:off x="85725" y="2076450"/>
          <a:ext cx="3048000" cy="4191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i="0">
              <a:ln>
                <a:noFill/>
              </a:ln>
              <a:solidFill>
                <a:srgbClr val="002060"/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PAGBANK</a:t>
          </a:r>
          <a:r>
            <a:rPr lang="pt-BR" sz="1600" i="0" baseline="0">
              <a:ln>
                <a:noFill/>
              </a:ln>
              <a:solidFill>
                <a:srgbClr val="002060"/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 APP</a:t>
          </a:r>
          <a:endParaRPr lang="pt-BR" sz="1600" i="0">
            <a:ln>
              <a:noFill/>
            </a:ln>
            <a:solidFill>
              <a:srgbClr val="002060"/>
            </a:solidFill>
            <a:effectLst/>
            <a:latin typeface="Bodoni MT Black" panose="02070A03080606020203" pitchFamily="18" charset="0"/>
          </a:endParaRPr>
        </a:p>
      </xdr:txBody>
    </xdr:sp>
    <xdr:clientData/>
  </xdr:twoCellAnchor>
  <xdr:twoCellAnchor editAs="absolute">
    <xdr:from>
      <xdr:col>0</xdr:col>
      <xdr:colOff>623098</xdr:colOff>
      <xdr:row>1</xdr:row>
      <xdr:rowOff>161925</xdr:rowOff>
    </xdr:from>
    <xdr:to>
      <xdr:col>0</xdr:col>
      <xdr:colOff>2596352</xdr:colOff>
      <xdr:row>11</xdr:row>
      <xdr:rowOff>24586</xdr:rowOff>
    </xdr:to>
    <xdr:pic>
      <xdr:nvPicPr>
        <xdr:cNvPr id="5" name="Imagem 3" descr="Dinheiro com preenchimento sólido">
          <a:extLst>
            <a:ext uri="{FF2B5EF4-FFF2-40B4-BE49-F238E27FC236}">
              <a16:creationId xmlns:a16="http://schemas.microsoft.com/office/drawing/2014/main" id="{96D5AEBF-649E-4545-B67D-9A0639DF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 bwMode="auto">
        <a:xfrm>
          <a:off x="623098" y="352425"/>
          <a:ext cx="1973254" cy="1971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600075</xdr:colOff>
      <xdr:row>17</xdr:row>
      <xdr:rowOff>184376</xdr:rowOff>
    </xdr:from>
    <xdr:to>
      <xdr:col>0</xdr:col>
      <xdr:colOff>2619375</xdr:colOff>
      <xdr:row>20</xdr:row>
      <xdr:rowOff>44223</xdr:rowOff>
    </xdr:to>
    <xdr:sp macro="" textlink="">
      <xdr:nvSpPr>
        <xdr:cNvPr id="6" name="CaixaDeText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9A92AF-E643-49BB-9F78-193B965360F6}"/>
            </a:ext>
          </a:extLst>
        </xdr:cNvPr>
        <xdr:cNvSpPr txBox="1"/>
      </xdr:nvSpPr>
      <xdr:spPr>
        <a:xfrm>
          <a:off x="600075" y="3681412"/>
          <a:ext cx="2019300" cy="485775"/>
        </a:xfrm>
        <a:prstGeom prst="rect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600075</xdr:colOff>
      <xdr:row>20</xdr:row>
      <xdr:rowOff>115661</xdr:rowOff>
    </xdr:from>
    <xdr:to>
      <xdr:col>0</xdr:col>
      <xdr:colOff>2619375</xdr:colOff>
      <xdr:row>23</xdr:row>
      <xdr:rowOff>16329</xdr:rowOff>
    </xdr:to>
    <xdr:sp macro="" textlink="">
      <xdr:nvSpPr>
        <xdr:cNvPr id="7" name="CaixaDeText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20E0C5-DB28-4AFC-A2A9-E0FAA8963251}"/>
            </a:ext>
          </a:extLst>
        </xdr:cNvPr>
        <xdr:cNvSpPr txBox="1"/>
      </xdr:nvSpPr>
      <xdr:spPr>
        <a:xfrm>
          <a:off x="600075" y="4238625"/>
          <a:ext cx="2019300" cy="485775"/>
        </a:xfrm>
        <a:prstGeom prst="rect">
          <a:avLst/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296332</xdr:colOff>
      <xdr:row>25</xdr:row>
      <xdr:rowOff>21167</xdr:rowOff>
    </xdr:from>
    <xdr:to>
      <xdr:col>0</xdr:col>
      <xdr:colOff>2920999</xdr:colOff>
      <xdr:row>25</xdr:row>
      <xdr:rowOff>21167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2BBF96F-B860-4496-8F39-A09A26A9237D}"/>
            </a:ext>
          </a:extLst>
        </xdr:cNvPr>
        <xdr:cNvCxnSpPr/>
      </xdr:nvCxnSpPr>
      <xdr:spPr>
        <a:xfrm>
          <a:off x="296332" y="5164667"/>
          <a:ext cx="262466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25</xdr:row>
      <xdr:rowOff>137583</xdr:rowOff>
    </xdr:from>
    <xdr:to>
      <xdr:col>0</xdr:col>
      <xdr:colOff>2677583</xdr:colOff>
      <xdr:row>27</xdr:row>
      <xdr:rowOff>21166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4AF03B51-7050-496A-9CCE-84D7D84D0903}"/>
            </a:ext>
          </a:extLst>
        </xdr:cNvPr>
        <xdr:cNvSpPr txBox="1"/>
      </xdr:nvSpPr>
      <xdr:spPr>
        <a:xfrm>
          <a:off x="635000" y="5281083"/>
          <a:ext cx="2042583" cy="26458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i="1">
              <a:solidFill>
                <a:schemeClr val="bg1"/>
              </a:solidFill>
            </a:rPr>
            <a:t>SISTEMA DE INFORMAÇÃO</a:t>
          </a:r>
        </a:p>
      </xdr:txBody>
    </xdr:sp>
    <xdr:clientData/>
  </xdr:twoCellAnchor>
  <xdr:twoCellAnchor editAs="absolute">
    <xdr:from>
      <xdr:col>0</xdr:col>
      <xdr:colOff>910167</xdr:colOff>
      <xdr:row>26</xdr:row>
      <xdr:rowOff>95250</xdr:rowOff>
    </xdr:from>
    <xdr:to>
      <xdr:col>0</xdr:col>
      <xdr:colOff>2328332</xdr:colOff>
      <xdr:row>33</xdr:row>
      <xdr:rowOff>171216</xdr:rowOff>
    </xdr:to>
    <xdr:pic>
      <xdr:nvPicPr>
        <xdr:cNvPr id="10" name="Imagem 9" descr="Linkedin White Icon Vector, Black And White, Linkedin Logo, Linkedin Icon  PNG and Vector with Transparent Background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A6D51E5-551B-476C-87AF-B29F7526F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67" y="5429250"/>
          <a:ext cx="1418165" cy="1409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26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15" name="Retângulo: Cantos Arredondados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39CF97-72F7-49B7-A26B-6F82CDBAB5EC}"/>
            </a:ext>
          </a:extLst>
        </xdr:cNvPr>
        <xdr:cNvSpPr/>
      </xdr:nvSpPr>
      <xdr:spPr>
        <a:xfrm>
          <a:off x="7579179" y="5334000"/>
          <a:ext cx="3061607" cy="571500"/>
        </a:xfrm>
        <a:prstGeom prst="roundRect">
          <a:avLst/>
        </a:prstGeom>
        <a:gradFill>
          <a:gsLst>
            <a:gs pos="0">
              <a:schemeClr val="accent4">
                <a:satMod val="103000"/>
                <a:lumMod val="102000"/>
                <a:tint val="94000"/>
              </a:schemeClr>
            </a:gs>
            <a:gs pos="50000">
              <a:schemeClr val="accent4">
                <a:satMod val="110000"/>
                <a:lumMod val="100000"/>
                <a:shade val="100000"/>
              </a:schemeClr>
            </a:gs>
            <a:gs pos="100000">
              <a:schemeClr val="accent4">
                <a:lumMod val="99000"/>
                <a:satMod val="120000"/>
                <a:shade val="78000"/>
              </a:schemeClr>
            </a:gs>
          </a:gsLst>
          <a:lin ang="5400000" scaled="0"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PROXIMO</a:t>
          </a:r>
          <a:r>
            <a:rPr lang="pt-BR" sz="1800" b="1" baseline="0"/>
            <a:t> &gt;&gt;&gt;</a:t>
          </a:r>
          <a:endParaRPr lang="pt-BR" sz="1100" b="1"/>
        </a:p>
      </xdr:txBody>
    </xdr:sp>
    <xdr:clientData/>
  </xdr:twoCellAnchor>
  <xdr:twoCellAnchor editAs="absolute">
    <xdr:from>
      <xdr:col>2</xdr:col>
      <xdr:colOff>0</xdr:colOff>
      <xdr:row>26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6" name="Retângulo: Cantos Arredondado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E1EE0-4D8E-40D0-BC50-16576976E90D}"/>
            </a:ext>
          </a:extLst>
        </xdr:cNvPr>
        <xdr:cNvSpPr/>
      </xdr:nvSpPr>
      <xdr:spPr>
        <a:xfrm>
          <a:off x="4095750" y="5334000"/>
          <a:ext cx="3483429" cy="571500"/>
        </a:xfrm>
        <a:prstGeom prst="roundRect">
          <a:avLst/>
        </a:prstGeom>
        <a:gradFill>
          <a:gsLst>
            <a:gs pos="0">
              <a:schemeClr val="accent4">
                <a:satMod val="103000"/>
                <a:lumMod val="102000"/>
                <a:tint val="94000"/>
              </a:schemeClr>
            </a:gs>
            <a:gs pos="50000">
              <a:schemeClr val="accent4">
                <a:satMod val="110000"/>
                <a:lumMod val="100000"/>
                <a:shade val="100000"/>
              </a:schemeClr>
            </a:gs>
            <a:gs pos="100000">
              <a:schemeClr val="accent4">
                <a:lumMod val="99000"/>
                <a:satMod val="120000"/>
                <a:shade val="78000"/>
              </a:schemeClr>
            </a:gs>
          </a:gsLst>
          <a:lin ang="5400000" scaled="0"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/>
            <a:t>&lt;&lt;&lt; ANTERIOR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600075</xdr:colOff>
      <xdr:row>14</xdr:row>
      <xdr:rowOff>144236</xdr:rowOff>
    </xdr:from>
    <xdr:to>
      <xdr:col>0</xdr:col>
      <xdr:colOff>2619375</xdr:colOff>
      <xdr:row>17</xdr:row>
      <xdr:rowOff>58511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F9C602-6490-406B-8EC2-C42A6FBCA1C2}"/>
            </a:ext>
          </a:extLst>
        </xdr:cNvPr>
        <xdr:cNvSpPr txBox="1"/>
      </xdr:nvSpPr>
      <xdr:spPr>
        <a:xfrm>
          <a:off x="600075" y="3124200"/>
          <a:ext cx="2019300" cy="485775"/>
        </a:xfrm>
        <a:prstGeom prst="rect">
          <a:avLst/>
        </a:prstGeom>
        <a:noFill/>
        <a:ln>
          <a:gradFill>
            <a:gsLst>
              <a:gs pos="15000">
                <a:schemeClr val="accent1">
                  <a:lumMod val="9000"/>
                  <a:lumOff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n>
                <a:noFill/>
              </a:ln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29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011AC20-0D03-4D47-8C22-549134711782}"/>
            </a:ext>
          </a:extLst>
        </xdr:cNvPr>
        <xdr:cNvSpPr/>
      </xdr:nvSpPr>
      <xdr:spPr>
        <a:xfrm>
          <a:off x="0" y="0"/>
          <a:ext cx="0" cy="552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85725</xdr:colOff>
      <xdr:row>9</xdr:row>
      <xdr:rowOff>48986</xdr:rowOff>
    </xdr:from>
    <xdr:to>
      <xdr:col>0</xdr:col>
      <xdr:colOff>3133725</xdr:colOff>
      <xdr:row>11</xdr:row>
      <xdr:rowOff>87086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3771729-FCF2-4982-8D44-CB58556B7A83}"/>
            </a:ext>
          </a:extLst>
        </xdr:cNvPr>
        <xdr:cNvSpPr/>
      </xdr:nvSpPr>
      <xdr:spPr>
        <a:xfrm>
          <a:off x="85725" y="2076450"/>
          <a:ext cx="3048000" cy="4191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i="0">
              <a:ln>
                <a:noFill/>
              </a:ln>
              <a:solidFill>
                <a:srgbClr val="002060"/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PAGBANK</a:t>
          </a:r>
          <a:r>
            <a:rPr lang="pt-BR" sz="1600" i="0" baseline="0">
              <a:ln>
                <a:noFill/>
              </a:ln>
              <a:solidFill>
                <a:srgbClr val="002060"/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 APP</a:t>
          </a:r>
          <a:endParaRPr lang="pt-BR" sz="1600" i="0">
            <a:ln>
              <a:noFill/>
            </a:ln>
            <a:solidFill>
              <a:srgbClr val="002060"/>
            </a:solidFill>
            <a:effectLst/>
            <a:latin typeface="Bodoni MT Black" panose="02070A03080606020203" pitchFamily="18" charset="0"/>
          </a:endParaRPr>
        </a:p>
      </xdr:txBody>
    </xdr:sp>
    <xdr:clientData/>
  </xdr:twoCellAnchor>
  <xdr:twoCellAnchor editAs="absolute">
    <xdr:from>
      <xdr:col>0</xdr:col>
      <xdr:colOff>623098</xdr:colOff>
      <xdr:row>1</xdr:row>
      <xdr:rowOff>161925</xdr:rowOff>
    </xdr:from>
    <xdr:to>
      <xdr:col>0</xdr:col>
      <xdr:colOff>2596352</xdr:colOff>
      <xdr:row>10</xdr:row>
      <xdr:rowOff>106229</xdr:rowOff>
    </xdr:to>
    <xdr:pic>
      <xdr:nvPicPr>
        <xdr:cNvPr id="5" name="Imagem 3" descr="Dinheiro com preenchimento sólido">
          <a:extLst>
            <a:ext uri="{FF2B5EF4-FFF2-40B4-BE49-F238E27FC236}">
              <a16:creationId xmlns:a16="http://schemas.microsoft.com/office/drawing/2014/main" id="{E7F1EF1A-CD44-42D9-87BA-0EB79627B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 bwMode="auto">
        <a:xfrm>
          <a:off x="623098" y="352425"/>
          <a:ext cx="1973254" cy="1971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600075</xdr:colOff>
      <xdr:row>17</xdr:row>
      <xdr:rowOff>129948</xdr:rowOff>
    </xdr:from>
    <xdr:to>
      <xdr:col>0</xdr:col>
      <xdr:colOff>2619375</xdr:colOff>
      <xdr:row>20</xdr:row>
      <xdr:rowOff>44223</xdr:rowOff>
    </xdr:to>
    <xdr:sp macro="" textlink="">
      <xdr:nvSpPr>
        <xdr:cNvPr id="6" name="CaixaDeText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0426B48-3AEC-49C4-B475-7C1B8D97BFA8}"/>
            </a:ext>
          </a:extLst>
        </xdr:cNvPr>
        <xdr:cNvSpPr txBox="1"/>
      </xdr:nvSpPr>
      <xdr:spPr>
        <a:xfrm>
          <a:off x="600075" y="3681412"/>
          <a:ext cx="2019300" cy="485775"/>
        </a:xfrm>
        <a:prstGeom prst="rect">
          <a:avLst/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600075</xdr:colOff>
      <xdr:row>20</xdr:row>
      <xdr:rowOff>115661</xdr:rowOff>
    </xdr:from>
    <xdr:to>
      <xdr:col>0</xdr:col>
      <xdr:colOff>2619375</xdr:colOff>
      <xdr:row>23</xdr:row>
      <xdr:rowOff>29936</xdr:rowOff>
    </xdr:to>
    <xdr:sp macro="" textlink="">
      <xdr:nvSpPr>
        <xdr:cNvPr id="7" name="CaixaDeText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1CB7B4-CB63-447B-92CF-634D8B1A3ADE}"/>
            </a:ext>
          </a:extLst>
        </xdr:cNvPr>
        <xdr:cNvSpPr txBox="1"/>
      </xdr:nvSpPr>
      <xdr:spPr>
        <a:xfrm>
          <a:off x="600075" y="4238625"/>
          <a:ext cx="2019300" cy="485775"/>
        </a:xfrm>
        <a:prstGeom prst="rect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296332</xdr:colOff>
      <xdr:row>25</xdr:row>
      <xdr:rowOff>89203</xdr:rowOff>
    </xdr:from>
    <xdr:to>
      <xdr:col>0</xdr:col>
      <xdr:colOff>2920999</xdr:colOff>
      <xdr:row>25</xdr:row>
      <xdr:rowOff>89203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B742FB7-70C7-455B-9E54-4531104E9999}"/>
            </a:ext>
          </a:extLst>
        </xdr:cNvPr>
        <xdr:cNvCxnSpPr/>
      </xdr:nvCxnSpPr>
      <xdr:spPr>
        <a:xfrm>
          <a:off x="296332" y="5164667"/>
          <a:ext cx="262466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26</xdr:row>
      <xdr:rowOff>15119</xdr:rowOff>
    </xdr:from>
    <xdr:to>
      <xdr:col>0</xdr:col>
      <xdr:colOff>2677583</xdr:colOff>
      <xdr:row>27</xdr:row>
      <xdr:rowOff>89202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02489F7-DBD4-4492-97E9-CDE48B8531A2}"/>
            </a:ext>
          </a:extLst>
        </xdr:cNvPr>
        <xdr:cNvSpPr txBox="1"/>
      </xdr:nvSpPr>
      <xdr:spPr>
        <a:xfrm>
          <a:off x="635000" y="5281083"/>
          <a:ext cx="2042583" cy="26458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i="1">
              <a:solidFill>
                <a:schemeClr val="bg1"/>
              </a:solidFill>
            </a:rPr>
            <a:t>SISTEMA DE INFORMAÇÃO</a:t>
          </a:r>
        </a:p>
      </xdr:txBody>
    </xdr:sp>
    <xdr:clientData/>
  </xdr:twoCellAnchor>
  <xdr:twoCellAnchor editAs="absolute">
    <xdr:from>
      <xdr:col>0</xdr:col>
      <xdr:colOff>952501</xdr:colOff>
      <xdr:row>26</xdr:row>
      <xdr:rowOff>140237</xdr:rowOff>
    </xdr:from>
    <xdr:to>
      <xdr:col>0</xdr:col>
      <xdr:colOff>2370666</xdr:colOff>
      <xdr:row>34</xdr:row>
      <xdr:rowOff>25703</xdr:rowOff>
    </xdr:to>
    <xdr:pic>
      <xdr:nvPicPr>
        <xdr:cNvPr id="11" name="Imagem 10" descr="Linkedin White Icon Vector, Black And White, Linkedin Logo, Linkedin Icon  PNG and Vector with Transparent Background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59DD57-5D57-4F4A-9E48-48EAD13B4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5406201"/>
          <a:ext cx="1418165" cy="1409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25</xdr:row>
      <xdr:rowOff>122465</xdr:rowOff>
    </xdr:from>
    <xdr:to>
      <xdr:col>3</xdr:col>
      <xdr:colOff>1020536</xdr:colOff>
      <xdr:row>28</xdr:row>
      <xdr:rowOff>122465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D68C97-07AC-4B7C-942E-F7AD8F74E453}"/>
            </a:ext>
          </a:extLst>
        </xdr:cNvPr>
        <xdr:cNvSpPr/>
      </xdr:nvSpPr>
      <xdr:spPr>
        <a:xfrm>
          <a:off x="4095750" y="5197929"/>
          <a:ext cx="3061607" cy="571500"/>
        </a:xfrm>
        <a:prstGeom prst="roundRect">
          <a:avLst/>
        </a:prstGeom>
        <a:gradFill rotWithShape="1">
          <a:gsLst>
            <a:gs pos="0">
              <a:srgbClr val="0F9ED5">
                <a:satMod val="103000"/>
                <a:lumMod val="102000"/>
                <a:tint val="94000"/>
              </a:srgbClr>
            </a:gs>
            <a:gs pos="50000">
              <a:srgbClr val="0F9ED5">
                <a:satMod val="110000"/>
                <a:lumMod val="100000"/>
                <a:shade val="100000"/>
              </a:srgbClr>
            </a:gs>
            <a:gs pos="100000">
              <a:srgbClr val="0F9ED5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&lt;&lt;&lt; ANTERIOR</a:t>
          </a: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913284-9537-4C3E-922B-48E54E43A631}" name="Tabela3" displayName="Tabela3" ref="C8:E24" totalsRowShown="0" headerRowDxfId="4" dataDxfId="0">
  <autoFilter ref="C8:E24" xr:uid="{00913284-9537-4C3E-922B-48E54E43A631}"/>
  <tableColumns count="3">
    <tableColumn id="1" xr3:uid="{3A3AC40D-431E-40DF-A569-C01936BC6F21}" name="DATA" dataDxfId="3"/>
    <tableColumn id="2" xr3:uid="{52B311A2-EA29-4695-A48B-2D98F277393E}" name="CATEGORIA" dataDxfId="2"/>
    <tableColumn id="3" xr3:uid="{9C57BFB2-682F-43E1-995F-83471C59B607}" name="VALOR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ogabriel@pagbank.com?subject=Oi,%20tenho%20algumas%20duvidas%20sobre%20pagamento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3CD6-D2A8-4E3E-87F1-22D61A1579CC}">
  <dimension ref="A1:E24"/>
  <sheetViews>
    <sheetView showGridLines="0" showRowColHeaders="0" tabSelected="1" zoomScale="70" zoomScaleNormal="70" workbookViewId="0">
      <selection activeCell="D14" sqref="D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52.28515625" style="1" customWidth="1"/>
    <col min="3" max="3" width="52.140625" customWidth="1"/>
    <col min="4" max="4" width="46" customWidth="1"/>
  </cols>
  <sheetData>
    <row r="1" spans="1:5" x14ac:dyDescent="0.25">
      <c r="A1" s="2" t="s">
        <v>0</v>
      </c>
    </row>
    <row r="6" spans="1:5" ht="20.25" thickBot="1" x14ac:dyDescent="0.35">
      <c r="C6" s="3" t="s">
        <v>15</v>
      </c>
      <c r="D6" s="3"/>
      <c r="E6" s="3"/>
    </row>
    <row r="7" spans="1:5" ht="21" customHeight="1" thickTop="1" x14ac:dyDescent="0.25">
      <c r="C7" s="6" t="s">
        <v>16</v>
      </c>
      <c r="D7" s="6"/>
      <c r="E7" s="6"/>
    </row>
    <row r="9" spans="1:5" x14ac:dyDescent="0.25">
      <c r="C9" s="4" t="s">
        <v>1</v>
      </c>
      <c r="D9" s="18" t="s">
        <v>27</v>
      </c>
    </row>
    <row r="10" spans="1:5" x14ac:dyDescent="0.25">
      <c r="C10" s="4" t="s">
        <v>2</v>
      </c>
      <c r="D10" s="19">
        <v>91099910099</v>
      </c>
    </row>
    <row r="11" spans="1:5" x14ac:dyDescent="0.25">
      <c r="C11" s="4" t="s">
        <v>3</v>
      </c>
      <c r="D11" s="20">
        <v>18609</v>
      </c>
    </row>
    <row r="12" spans="1:5" x14ac:dyDescent="0.25">
      <c r="C12" s="4" t="s">
        <v>4</v>
      </c>
      <c r="D12" s="21" t="s">
        <v>30</v>
      </c>
    </row>
    <row r="13" spans="1:5" x14ac:dyDescent="0.25">
      <c r="C13" s="4" t="s">
        <v>29</v>
      </c>
      <c r="D13" s="18" t="s">
        <v>28</v>
      </c>
    </row>
    <row r="14" spans="1:5" x14ac:dyDescent="0.25">
      <c r="C14" s="4" t="s">
        <v>5</v>
      </c>
      <c r="D14" s="18" t="s">
        <v>20</v>
      </c>
    </row>
    <row r="15" spans="1:5" x14ac:dyDescent="0.25">
      <c r="C15" s="4" t="s">
        <v>9</v>
      </c>
      <c r="D15" s="21">
        <v>1588</v>
      </c>
    </row>
    <row r="16" spans="1:5" x14ac:dyDescent="0.25">
      <c r="C16" s="4" t="s">
        <v>8</v>
      </c>
      <c r="D16" s="18" t="s">
        <v>21</v>
      </c>
    </row>
    <row r="17" spans="3:4" x14ac:dyDescent="0.25">
      <c r="C17" s="4" t="s">
        <v>6</v>
      </c>
      <c r="D17" s="18" t="s">
        <v>22</v>
      </c>
    </row>
    <row r="18" spans="3:4" x14ac:dyDescent="0.25">
      <c r="C18" s="4" t="s">
        <v>7</v>
      </c>
      <c r="D18" s="22" t="s">
        <v>23</v>
      </c>
    </row>
    <row r="19" spans="3:4" x14ac:dyDescent="0.25">
      <c r="C19" s="4" t="s">
        <v>10</v>
      </c>
      <c r="D19" s="23" t="s">
        <v>24</v>
      </c>
    </row>
    <row r="20" spans="3:4" x14ac:dyDescent="0.25">
      <c r="C20" s="4" t="s">
        <v>11</v>
      </c>
      <c r="D20" s="23" t="s">
        <v>25</v>
      </c>
    </row>
    <row r="21" spans="3:4" x14ac:dyDescent="0.25">
      <c r="C21" s="4" t="s">
        <v>12</v>
      </c>
      <c r="D21" s="24" t="s">
        <v>26</v>
      </c>
    </row>
    <row r="22" spans="3:4" x14ac:dyDescent="0.25">
      <c r="C22" s="4" t="s">
        <v>14</v>
      </c>
      <c r="D22" s="21" t="s">
        <v>18</v>
      </c>
    </row>
    <row r="23" spans="3:4" x14ac:dyDescent="0.25">
      <c r="C23" s="4" t="s">
        <v>17</v>
      </c>
      <c r="D23" s="21" t="s">
        <v>19</v>
      </c>
    </row>
    <row r="24" spans="3:4" x14ac:dyDescent="0.25">
      <c r="C24" s="4" t="s">
        <v>13</v>
      </c>
      <c r="D24" s="21" t="s">
        <v>18</v>
      </c>
    </row>
  </sheetData>
  <sheetProtection sheet="1" objects="1" scenarios="1" selectLockedCells="1"/>
  <mergeCells count="1">
    <mergeCell ref="C7:E7"/>
  </mergeCells>
  <dataValidations count="2">
    <dataValidation type="list" allowBlank="1" showInputMessage="1" showErrorMessage="1" sqref="D22:D24" xr:uid="{365BDE8D-1165-42DE-B46D-3081B2AD2478}">
      <formula1>"SIM,NÃO"</formula1>
    </dataValidation>
    <dataValidation type="list" allowBlank="1" showInputMessage="1" showErrorMessage="1" sqref="D12" xr:uid="{584898FB-9B5B-4351-B92C-9B55450C0FAF}">
      <formula1>"SOLTEIRO,CASADO,DIVORCIADO,VIUVO"</formula1>
    </dataValidation>
  </dataValidations>
  <hyperlinks>
    <hyperlink ref="A1" location="TITULAR!B1" display="TITULAR!B1" xr:uid="{0FAF8DA0-1B30-4AF7-A880-D38F79D77983}"/>
    <hyperlink ref="D21" r:id="rId1" xr:uid="{5961CC8B-9EA9-405F-A5E9-108474ECA74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F569-F7C6-44E1-A6D5-23BB3277E2F7}">
  <dimension ref="A6:E24"/>
  <sheetViews>
    <sheetView showGridLines="0" showRowColHeaders="0" zoomScale="70" zoomScaleNormal="70" workbookViewId="0">
      <selection activeCell="D20" activeCellId="2" sqref="D10:D12 D15:D17 D20:D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52.28515625" style="1" customWidth="1"/>
    <col min="3" max="3" width="52.140625" customWidth="1"/>
    <col min="4" max="4" width="46" customWidth="1"/>
  </cols>
  <sheetData>
    <row r="6" spans="3:5" ht="20.25" thickBot="1" x14ac:dyDescent="0.35">
      <c r="C6" s="7" t="s">
        <v>32</v>
      </c>
      <c r="D6" s="7"/>
      <c r="E6" s="7"/>
    </row>
    <row r="7" spans="3:5" ht="21" customHeight="1" thickTop="1" x14ac:dyDescent="0.25">
      <c r="C7" s="8" t="s">
        <v>31</v>
      </c>
      <c r="D7" s="6"/>
      <c r="E7" s="6"/>
    </row>
    <row r="9" spans="3:5" ht="18.75" x14ac:dyDescent="0.3">
      <c r="C9" s="11" t="s">
        <v>48</v>
      </c>
    </row>
    <row r="10" spans="3:5" x14ac:dyDescent="0.25">
      <c r="C10" s="4" t="s">
        <v>33</v>
      </c>
      <c r="D10" s="25" t="s">
        <v>47</v>
      </c>
    </row>
    <row r="11" spans="3:5" x14ac:dyDescent="0.25">
      <c r="C11" s="4" t="s">
        <v>34</v>
      </c>
      <c r="D11" s="26">
        <v>180000</v>
      </c>
    </row>
    <row r="12" spans="3:5" x14ac:dyDescent="0.25">
      <c r="C12" s="4" t="s">
        <v>35</v>
      </c>
      <c r="D12" s="25" t="s">
        <v>36</v>
      </c>
    </row>
    <row r="14" spans="3:5" ht="18.75" x14ac:dyDescent="0.3">
      <c r="C14" s="11" t="s">
        <v>49</v>
      </c>
    </row>
    <row r="15" spans="3:5" x14ac:dyDescent="0.25">
      <c r="C15" s="4" t="s">
        <v>33</v>
      </c>
      <c r="D15" s="25" t="s">
        <v>45</v>
      </c>
    </row>
    <row r="16" spans="3:5" x14ac:dyDescent="0.25">
      <c r="C16" s="4" t="s">
        <v>34</v>
      </c>
      <c r="D16" s="26">
        <v>15800</v>
      </c>
    </row>
    <row r="17" spans="3:4" x14ac:dyDescent="0.25">
      <c r="C17" s="4" t="s">
        <v>35</v>
      </c>
      <c r="D17" s="25" t="s">
        <v>53</v>
      </c>
    </row>
    <row r="19" spans="3:4" ht="18.75" x14ac:dyDescent="0.3">
      <c r="C19" s="11" t="s">
        <v>50</v>
      </c>
    </row>
    <row r="20" spans="3:4" x14ac:dyDescent="0.25">
      <c r="C20" s="4" t="s">
        <v>33</v>
      </c>
      <c r="D20" s="25" t="s">
        <v>41</v>
      </c>
    </row>
    <row r="21" spans="3:4" x14ac:dyDescent="0.25">
      <c r="C21" s="4" t="s">
        <v>34</v>
      </c>
      <c r="D21" s="26">
        <v>25000</v>
      </c>
    </row>
    <row r="22" spans="3:4" x14ac:dyDescent="0.25">
      <c r="C22" s="4" t="s">
        <v>35</v>
      </c>
      <c r="D22" s="25" t="s">
        <v>52</v>
      </c>
    </row>
    <row r="23" spans="3:4" ht="15.75" thickBot="1" x14ac:dyDescent="0.3"/>
    <row r="24" spans="3:4" ht="19.5" thickBot="1" x14ac:dyDescent="0.35">
      <c r="C24" s="12" t="s">
        <v>54</v>
      </c>
      <c r="D24" s="13">
        <f>SUM(D11+D16+D21)</f>
        <v>220800</v>
      </c>
    </row>
  </sheetData>
  <sheetProtection sheet="1" objects="1" scenarios="1" selectLockedCells="1"/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54BBA5-D8CC-46BA-91EE-5624000BDC0F}">
          <x14:formula1>
            <xm:f>BANCOS!$B$3:$B$12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5D9D-6DE7-44F8-A4BE-56EC0C3323DC}">
  <dimension ref="A4:E24"/>
  <sheetViews>
    <sheetView showGridLines="0" showRowColHeaders="0" zoomScale="70" zoomScaleNormal="70" workbookViewId="0">
      <selection activeCell="C9" sqref="C9:E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52.28515625" style="1" customWidth="1"/>
    <col min="3" max="3" width="30.5703125" style="5" customWidth="1"/>
    <col min="4" max="4" width="37.28515625" customWidth="1"/>
    <col min="5" max="5" width="24" customWidth="1"/>
  </cols>
  <sheetData>
    <row r="4" spans="3:5" ht="20.25" thickBot="1" x14ac:dyDescent="0.35">
      <c r="C4" s="17" t="s">
        <v>63</v>
      </c>
      <c r="D4" s="7"/>
      <c r="E4" s="7"/>
    </row>
    <row r="5" spans="3:5" ht="21" customHeight="1" thickTop="1" x14ac:dyDescent="0.25">
      <c r="C5" s="8" t="s">
        <v>31</v>
      </c>
      <c r="D5" s="8"/>
      <c r="E5" s="8"/>
    </row>
    <row r="7" spans="3:5" ht="21" customHeight="1" x14ac:dyDescent="0.25">
      <c r="C7" s="14"/>
      <c r="D7" s="15" t="s">
        <v>58</v>
      </c>
      <c r="E7" s="14"/>
    </row>
    <row r="8" spans="3:5" x14ac:dyDescent="0.25">
      <c r="C8" s="16" t="s">
        <v>55</v>
      </c>
      <c r="D8" s="16" t="s">
        <v>56</v>
      </c>
      <c r="E8" s="16" t="s">
        <v>57</v>
      </c>
    </row>
    <row r="9" spans="3:5" ht="21" customHeight="1" x14ac:dyDescent="0.25">
      <c r="C9" s="27">
        <v>46058</v>
      </c>
      <c r="D9" s="28" t="s">
        <v>59</v>
      </c>
      <c r="E9" s="29">
        <v>3500</v>
      </c>
    </row>
    <row r="10" spans="3:5" x14ac:dyDescent="0.25">
      <c r="C10" s="27">
        <v>46059</v>
      </c>
      <c r="D10" s="28" t="s">
        <v>60</v>
      </c>
      <c r="E10" s="29">
        <v>250</v>
      </c>
    </row>
    <row r="11" spans="3:5" x14ac:dyDescent="0.25">
      <c r="C11" s="27">
        <v>46060</v>
      </c>
      <c r="D11" s="28" t="s">
        <v>61</v>
      </c>
      <c r="E11" s="29">
        <v>1000</v>
      </c>
    </row>
    <row r="12" spans="3:5" x14ac:dyDescent="0.25">
      <c r="C12" s="27">
        <v>46061</v>
      </c>
      <c r="D12" s="28" t="s">
        <v>62</v>
      </c>
      <c r="E12" s="29">
        <v>35</v>
      </c>
    </row>
    <row r="13" spans="3:5" x14ac:dyDescent="0.25">
      <c r="C13" s="27">
        <v>46062</v>
      </c>
      <c r="D13" s="28"/>
      <c r="E13" s="29">
        <v>0</v>
      </c>
    </row>
    <row r="14" spans="3:5" x14ac:dyDescent="0.25">
      <c r="C14" s="27">
        <v>46063</v>
      </c>
      <c r="D14" s="28"/>
      <c r="E14" s="29">
        <v>0</v>
      </c>
    </row>
    <row r="15" spans="3:5" x14ac:dyDescent="0.25">
      <c r="C15" s="27">
        <v>46064</v>
      </c>
      <c r="D15" s="28"/>
      <c r="E15" s="29">
        <v>0</v>
      </c>
    </row>
    <row r="16" spans="3:5" x14ac:dyDescent="0.25">
      <c r="C16" s="27"/>
      <c r="D16" s="28"/>
      <c r="E16" s="29"/>
    </row>
    <row r="17" spans="3:5" x14ac:dyDescent="0.25">
      <c r="C17" s="27"/>
      <c r="D17" s="28"/>
      <c r="E17" s="29"/>
    </row>
    <row r="18" spans="3:5" x14ac:dyDescent="0.25">
      <c r="C18" s="27"/>
      <c r="D18" s="28"/>
      <c r="E18" s="29"/>
    </row>
    <row r="19" spans="3:5" x14ac:dyDescent="0.25">
      <c r="C19" s="27"/>
      <c r="D19" s="28"/>
      <c r="E19" s="29"/>
    </row>
    <row r="20" spans="3:5" x14ac:dyDescent="0.25">
      <c r="C20" s="27"/>
      <c r="D20" s="28"/>
      <c r="E20" s="29"/>
    </row>
    <row r="21" spans="3:5" x14ac:dyDescent="0.25">
      <c r="C21" s="27"/>
      <c r="D21" s="28"/>
      <c r="E21" s="29"/>
    </row>
    <row r="22" spans="3:5" x14ac:dyDescent="0.25">
      <c r="C22" s="27"/>
      <c r="D22" s="28"/>
      <c r="E22" s="29"/>
    </row>
    <row r="23" spans="3:5" x14ac:dyDescent="0.25">
      <c r="C23" s="27"/>
      <c r="D23" s="28"/>
      <c r="E23" s="29"/>
    </row>
    <row r="24" spans="3:5" x14ac:dyDescent="0.25">
      <c r="C24" s="27"/>
      <c r="D24" s="28"/>
      <c r="E24" s="29"/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9:D24" xr:uid="{0A847B19-EF94-4F0E-A928-F503AE90A3DB}">
      <formula1>"HOLERITE,RECEBIDO PIX,DINHEIRO,TRANSFERÊNCIA"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1171-AF10-467A-934B-DCA8D835C796}">
  <dimension ref="A1:B12"/>
  <sheetViews>
    <sheetView workbookViewId="0">
      <selection activeCell="F18" sqref="F18"/>
    </sheetView>
  </sheetViews>
  <sheetFormatPr defaultRowHeight="15" x14ac:dyDescent="0.25"/>
  <cols>
    <col min="2" max="2" width="27.42578125" customWidth="1"/>
  </cols>
  <sheetData>
    <row r="1" spans="1:2" x14ac:dyDescent="0.25">
      <c r="A1" s="10" t="s">
        <v>46</v>
      </c>
      <c r="B1" s="10"/>
    </row>
    <row r="2" spans="1:2" x14ac:dyDescent="0.25">
      <c r="A2" s="9">
        <v>1</v>
      </c>
      <c r="B2" s="5" t="s">
        <v>51</v>
      </c>
    </row>
    <row r="3" spans="1:2" x14ac:dyDescent="0.25">
      <c r="A3" s="9">
        <v>2</v>
      </c>
      <c r="B3" s="5" t="s">
        <v>47</v>
      </c>
    </row>
    <row r="4" spans="1:2" x14ac:dyDescent="0.25">
      <c r="A4" s="9">
        <v>3</v>
      </c>
      <c r="B4" s="5" t="s">
        <v>37</v>
      </c>
    </row>
    <row r="5" spans="1:2" x14ac:dyDescent="0.25">
      <c r="A5" s="9">
        <v>4</v>
      </c>
      <c r="B5" s="5" t="s">
        <v>38</v>
      </c>
    </row>
    <row r="6" spans="1:2" x14ac:dyDescent="0.25">
      <c r="A6" s="9">
        <v>5</v>
      </c>
      <c r="B6" s="5" t="s">
        <v>39</v>
      </c>
    </row>
    <row r="7" spans="1:2" x14ac:dyDescent="0.25">
      <c r="A7" s="9">
        <v>6</v>
      </c>
      <c r="B7" s="5" t="s">
        <v>40</v>
      </c>
    </row>
    <row r="8" spans="1:2" x14ac:dyDescent="0.25">
      <c r="A8" s="9">
        <v>7</v>
      </c>
      <c r="B8" s="5" t="s">
        <v>41</v>
      </c>
    </row>
    <row r="9" spans="1:2" x14ac:dyDescent="0.25">
      <c r="A9" s="9">
        <v>8</v>
      </c>
      <c r="B9" s="5" t="s">
        <v>42</v>
      </c>
    </row>
    <row r="10" spans="1:2" x14ac:dyDescent="0.25">
      <c r="A10" s="9">
        <v>9</v>
      </c>
      <c r="B10" s="5" t="s">
        <v>43</v>
      </c>
    </row>
    <row r="11" spans="1:2" x14ac:dyDescent="0.25">
      <c r="A11" s="9">
        <v>10</v>
      </c>
      <c r="B11" s="5" t="s">
        <v>44</v>
      </c>
    </row>
    <row r="12" spans="1:2" x14ac:dyDescent="0.25">
      <c r="A12" s="9">
        <v>11</v>
      </c>
      <c r="B12" s="5" t="s">
        <v>45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Arquidonio Junio</dc:creator>
  <cp:lastModifiedBy>Arquidonio Junio</cp:lastModifiedBy>
  <dcterms:created xsi:type="dcterms:W3CDTF">2026-02-13T17:19:41Z</dcterms:created>
  <dcterms:modified xsi:type="dcterms:W3CDTF">2026-02-14T00:45:30Z</dcterms:modified>
</cp:coreProperties>
</file>